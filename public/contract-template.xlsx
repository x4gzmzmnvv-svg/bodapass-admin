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wlgh\Downloads\"/>
    </mc:Choice>
  </mc:AlternateContent>
  <xr:revisionPtr revIDLastSave="0" documentId="13_ncr:1_{3EA51046-743E-4816-B2E7-A6C787B04655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일용직 근로계약서" sheetId="10" r:id="rId1"/>
  </sheets>
  <definedNames>
    <definedName name="_xlnm.Print_Area" localSheetId="0">'일용직 근로계약서'!$A$1:$AJ$63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0" l="1"/>
  <c r="T34" i="10"/>
  <c r="P34" i="10"/>
  <c r="L34" i="10"/>
  <c r="H34" i="10"/>
  <c r="AN4" i="10"/>
  <c r="AM14" i="10"/>
  <c r="AM13" i="10"/>
  <c r="AN11" i="10" s="1"/>
  <c r="AM11" i="10"/>
  <c r="AN10" i="10"/>
  <c r="AM10" i="10"/>
  <c r="AN9" i="10"/>
  <c r="AM9" i="10"/>
  <c r="AM8" i="10"/>
  <c r="AN7" i="10"/>
  <c r="AM7" i="10"/>
  <c r="AN6" i="10"/>
  <c r="AM6" i="10"/>
  <c r="AN5" i="10"/>
  <c r="AM5" i="10"/>
  <c r="AN8" i="10" l="1"/>
  <c r="AN15" i="10" s="1"/>
</calcChain>
</file>

<file path=xl/sharedStrings.xml><?xml version="1.0" encoding="utf-8"?>
<sst xmlns="http://schemas.openxmlformats.org/spreadsheetml/2006/main" count="189" uniqueCount="139">
  <si>
    <t>사업체명</t>
  </si>
  <si>
    <t>대 표 자</t>
  </si>
  <si>
    <t>소 재 지</t>
  </si>
  <si>
    <t>전    화</t>
  </si>
  <si>
    <t>성    명</t>
  </si>
  <si>
    <t>주    소</t>
  </si>
  <si>
    <t>현장 일용직 근로계약서</t>
  </si>
  <si>
    <t>)</t>
  </si>
  <si>
    <t>시간급</t>
  </si>
  <si>
    <t>원</t>
  </si>
  <si>
    <t>기본일당</t>
  </si>
  <si>
    <t>매월</t>
  </si>
  <si>
    <t>에서</t>
  </si>
  <si>
    <t>까지 정산하여</t>
  </si>
  <si>
    <t>에 지급한다.</t>
  </si>
  <si>
    <t>임금구성내역</t>
  </si>
  <si>
    <t>토,일할증</t>
  </si>
  <si>
    <t>시간</t>
  </si>
  <si>
    <t>일당</t>
  </si>
  <si>
    <t>안전교육</t>
  </si>
  <si>
    <t>[</t>
  </si>
  <si>
    <t>]</t>
  </si>
  <si>
    <t>안전모</t>
  </si>
  <si>
    <t>안전화</t>
  </si>
  <si>
    <t>안전벨트</t>
  </si>
  <si>
    <t>기타장비</t>
  </si>
  <si>
    <t xml:space="preserve"> ( 서명 / 인 )</t>
  </si>
  <si>
    <t>대       표</t>
  </si>
  <si>
    <t>근로계약서교부확인</t>
  </si>
  <si>
    <t/>
  </si>
  <si>
    <t>당사자</t>
  </si>
  <si>
    <t>사용자</t>
  </si>
  <si>
    <t>(주)스틸코리아</t>
  </si>
  <si>
    <t>장훈</t>
  </si>
  <si>
    <t>서울특별시 강남구 압구정로 104 (신사동) 707호</t>
  </si>
  <si>
    <t>02-587-8080</t>
  </si>
  <si>
    <t>근로자</t>
  </si>
  <si>
    <t>김지홍</t>
  </si>
  <si>
    <t>생년월일</t>
  </si>
  <si>
    <t>770417-1055112</t>
  </si>
  <si>
    <t>핸 드 폰</t>
  </si>
  <si>
    <t>010-7485-1235</t>
  </si>
  <si>
    <t>계약기간</t>
  </si>
  <si>
    <t xml:space="preserve"> ㅇ 일용직 근로계약기간 :</t>
  </si>
  <si>
    <t>( 2026 년 04 월 01 일 ~ 2026 년 04 월 30 일 )</t>
  </si>
  <si>
    <t xml:space="preserve"> 근로계약만료시 근로관계는 자동종료된다.</t>
  </si>
  <si>
    <t xml:space="preserve"> 계약기간 내에도 조기에 현장이 종료되거나 "근로자"의 담당업무 및 공종이 만료된 때 근로계약기간은 자동 종료된다. </t>
  </si>
  <si>
    <t xml:space="preserve"> ※ 아래(①항~②항)와 같은사유가 발생 시에도 본 근로계약기간은 그 사유발생일에 자동 종료된다.</t>
  </si>
  <si>
    <t xml:space="preserve"> ① 발주처 또는 원청의 계약해지, 공사중지 명령, 설계변경, 천재지변 등 기타 불가피한 사유으로 인하여 작업이 중단되었을 때</t>
  </si>
  <si>
    <t xml:space="preserve"> ② "근로자"가 계약기간 내에 타사의 건설현장에 취업 시 또는 "사용자"의 동의없이 "근로자"가 건설현장에 대한 비품, 자산, 현장사진 등을
     외부로 유출(사적으로 사용, 처분, 횡령 등 포함)하거나 또는 현장 내외부 및 시설물에 대한 사진 촬영을 했을 때</t>
  </si>
  <si>
    <t>취업장소 
및 
취업직종</t>
  </si>
  <si>
    <t xml:space="preserve"> ① 취업장소 : </t>
  </si>
  <si>
    <t>뚝섬 현장</t>
  </si>
  <si>
    <t xml:space="preserve">② 취업직종 : </t>
  </si>
  <si>
    <t>단순노무자</t>
  </si>
  <si>
    <t xml:space="preserve"> ③ 전 ①항 및 ②항은 “사용자”의 경영사정에 따라 변경될 수 있으며,  "근로자”는 변경지시(전직 및 배치전환) 이에 따를 것을 동의한다</t>
  </si>
  <si>
    <t>[동의(인):</t>
  </si>
  <si>
    <t>근로시간 
및 
휴게시간</t>
  </si>
  <si>
    <t xml:space="preserve"> 하기의 근로/휴게시간은 "사용자"의 경영상 필요와 계절의 변화에 의해 변경될 수 있다. </t>
  </si>
  <si>
    <t xml:space="preserve"> ① </t>
  </si>
  <si>
    <t>근로시간 :</t>
  </si>
  <si>
    <t>08시00분~17시00분</t>
  </si>
  <si>
    <t xml:space="preserve"> ②</t>
  </si>
  <si>
    <t>휴게시간 :</t>
  </si>
  <si>
    <t>12시00분~13시00분,</t>
  </si>
  <si>
    <t>(휴일     :</t>
  </si>
  <si>
    <t>(공휴일   :</t>
  </si>
  <si>
    <t xml:space="preserve"> ③ 소정근로시간은 1일 8시간, 1주 40시간을 기준으로 하되, 추가로 발생할 수 있는 연장근로에 "근로자"는 동의한다.     </t>
  </si>
  <si>
    <t>임금</t>
  </si>
  <si>
    <t xml:space="preserve"> ① "근로자"의 임금은</t>
  </si>
  <si>
    <t xml:space="preserve">, 1일 </t>
  </si>
  <si>
    <t>8시간</t>
  </si>
  <si>
    <t>으로 한다.</t>
  </si>
  <si>
    <t>1.</t>
  </si>
  <si>
    <t>유급주휴(일요일)</t>
  </si>
  <si>
    <t>: 시급×8시간</t>
  </si>
  <si>
    <t>2.</t>
  </si>
  <si>
    <t>: 시급×휴일(토,일)근로시간×50% + 연장(1일 8시간 초과근로)시간×50%</t>
  </si>
  <si>
    <t>3.</t>
  </si>
  <si>
    <t>연차수당</t>
  </si>
  <si>
    <t>: 미사용연차휴가</t>
  </si>
  <si>
    <t>4.</t>
  </si>
  <si>
    <t>평일연장</t>
  </si>
  <si>
    <t>: 시급×평일연장근로시간×150%</t>
  </si>
  <si>
    <t>5.</t>
  </si>
  <si>
    <t>유급휴일(근로)</t>
  </si>
  <si>
    <t>: 국공휴일, 근로자의날</t>
  </si>
  <si>
    <t>6.</t>
  </si>
  <si>
    <t>야간근로</t>
  </si>
  <si>
    <t>: 시급×야간할증시간×50%</t>
  </si>
  <si>
    <t xml:space="preserve"> ② "근로자"의 임금은 위 "①항" 기본일당에 제반수당이 포함된 포괄일당</t>
  </si>
  <si>
    <t xml:space="preserve"> 이며, </t>
  </si>
  <si>
    <t xml:space="preserve">     임금정책 변경 시 포괄일당 및  시간급으로 산정하는데에 동의한다</t>
  </si>
  <si>
    <t xml:space="preserve"> ③ 임금계산은</t>
  </si>
  <si>
    <t>1 일</t>
  </si>
  <si>
    <t>말일</t>
  </si>
  <si>
    <t>익월</t>
  </si>
  <si>
    <t xml:space="preserve">     매월 급여 정산은 세금 및 4대 보험의 공제액 발생 시 “근로자”의 부담금액을 공제 후 지급한다. </t>
  </si>
  <si>
    <t xml:space="preserve"> ④ 지급방법 :</t>
  </si>
  <si>
    <t>통장지급</t>
  </si>
  <si>
    <t>포괄일당
산정내역</t>
  </si>
  <si>
    <t>유급주휴</t>
  </si>
  <si>
    <t>야간할증</t>
  </si>
  <si>
    <t>8H</t>
  </si>
  <si>
    <t>1.6H</t>
  </si>
  <si>
    <t>0.67H</t>
  </si>
  <si>
    <t>0.9H</t>
  </si>
  <si>
    <t>0H</t>
  </si>
  <si>
    <t>근로계약
해지사유</t>
  </si>
  <si>
    <t xml:space="preserve"> ① 안전수칙(안전용품 미착용 및 안전관리자 지시위반) 불이행 또는 회사규정 불이행으로 경고처분을 받고 현장에 근로를 제공할 수 없을 때</t>
  </si>
  <si>
    <t xml:space="preserve"> ② 정당한 업무지시 불이행 또는 고의ㆍ중대한 과실로 사고나 손실을 야기시킨 경우</t>
  </si>
  <si>
    <t xml:space="preserve"> ③ 신체(고혈압, 디스크 포함). 정신상 장애로 계속근로가 불가하다고 인정되었을 때</t>
  </si>
  <si>
    <t xml:space="preserve"> ④ 외국인근로자 : 사업장에서 외국인과 더 이상 고용관계를 유지할 수 없는 경우(시정지시 또는 처벌일에 근로계약은 해지되는 것에 동의한다)</t>
  </si>
  <si>
    <t xml:space="preserve"> ⑤ "사용자"의 승인없이 타사의 작업현장에 취업한 때 또는 무단결근일을 주 3일 이상 또는 월 5일 이상 했을 때</t>
  </si>
  <si>
    <t xml:space="preserve"> ⑥ 도박, 풍기문란, 폭행, 파괴, 태업을 선도하는 등 불미한 행동을 하거나 모의한 때 </t>
  </si>
  <si>
    <t xml:space="preserve"> ⑦ 불법체류자, 지명수배중에 있는자, 장해판정 등에 의거 노동력의 일부분이 상실되었음이 확인된 자는 채용될 수 없으며, 
     위 사실이 추후 발견된 경우 본 근로계약은 취소된다.</t>
  </si>
  <si>
    <t xml:space="preserve"> ⑧ 일용근로자의 최종 인사권은 본사에 있으므로 본사 승인이 없는 현장소장 해고는 무효로 한다. </t>
  </si>
  <si>
    <t>기타조건</t>
  </si>
  <si>
    <t xml:space="preserve"> ① 법정휴일은 주휴일(소정 근로일 만근) 및 근로자의 날(5.1)이고, 법정휴가(연차휴가 등)는 근로기준법에 따르며 휴가의 자유로운 사용을 보장한다.</t>
  </si>
  <si>
    <t xml:space="preserve"> ② “근로자”는 채용 전에 현장업무 수행과 인과관계가 있는 지병(질병)을 고지해야 하며 이를 숨기거나 허위로 작성된 건강진단서를 제출하고 
     현장에 채용된 후 근무 중에 지병(질병)의 사실이 확인된 경우에는 해당 시점에 “근로자”의 근로계약은 자동 해지되고, 
     지병(질병)에 따른 보상 (산재 및 민형사 포함) 책임도 “사용자”에게는 없음을 인정하며 “근로자”는 모든(근로계약해지 및 보상) 책임을 감수한다. </t>
  </si>
  <si>
    <t xml:space="preserve"> ③ 개인정보(성명, 주민등록번호,주소, 전화번호)를 현장내 출입관리, 공사 및 노무관리에 활용할 수 있도록 
     원청 및 발주처 관계자에게 제공하고 활용하는데 이의없이 동의한다.          </t>
  </si>
  <si>
    <t>안전장구
지급확인</t>
  </si>
  <si>
    <t>O</t>
  </si>
  <si>
    <t xml:space="preserve"> ※ 상기 안전장구를 수령했고, 현장 안전수칙을 확인 및 이행함에 동의한다.</t>
  </si>
  <si>
    <t>특약사항</t>
  </si>
  <si>
    <t xml:space="preserve"> </t>
  </si>
  <si>
    <t>상기 “근로자”는 계약서에 정한 규정을 성실히 준수하고,  본 계약서에 없는 사항은 "사용자"의 해석에 따르기로 한다.</t>
  </si>
  <si>
    <t>2026 년 04 월 01 일</t>
  </si>
  <si>
    <t>사 용 자</t>
  </si>
  <si>
    <t>( 서명 / 인 )</t>
  </si>
  <si>
    <t>근 로 자</t>
  </si>
  <si>
    <t>포괄일당 역산표 (R27 일당 → 항목별 일당)</t>
  </si>
  <si>
    <t>항목</t>
  </si>
  <si>
    <t>시간(H)</t>
  </si>
  <si>
    <t>역산 일당(원)</t>
  </si>
  <si>
    <t>포괄일당 (입력)</t>
  </si>
  <si>
    <t>총 시간계수</t>
  </si>
  <si>
    <t>시급 (원/H)</t>
  </si>
  <si>
    <t>역산 합계 검증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</si>
</sst>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&quot;금&quot;\ #,###\ &quot;원&quot;\ "/>
    <numFmt numFmtId="177" formatCode="&quot;금&quot;\ 00,000\ &quot;원&quot;\ "/>
    <numFmt numFmtId="178" formatCode="&quot;₩&quot;#,##0_);[Red]\(&quot;₩&quot;#,##0\)"/>
    <numFmt numFmtId="179" formatCode="_-[$₩-412]* #,##0_-;\-[$₩-412]* #,##0_-;_-[$₩-412]* &quot;-&quot;??_-;_-@_-"/>
  </numFmts>
  <fonts count="22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u/>
      <sz val="21"/>
      <color indexed="8"/>
      <name val="HY헤드라인M"/>
      <family val="1"/>
      <charset val="129"/>
    </font>
    <font>
      <b/>
      <sz val="10"/>
      <color theme="1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  <font>
      <b/>
      <u/>
      <sz val="8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u/>
      <sz val="8"/>
      <color indexed="8"/>
      <name val="맑은 고딕"/>
      <family val="3"/>
      <charset val="129"/>
      <scheme val="minor"/>
    </font>
    <font>
      <b/>
      <u/>
      <sz val="8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5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1" fillId="0" borderId="0">
      <alignment vertical="center"/>
    </xf>
  </cellStyleXfs>
  <cellXfs count="174">
    <xf numFmtId="0" fontId="0" fillId="0" borderId="0" xfId="0">
      <alignment vertical="center"/>
    </xf>
    <xf numFmtId="0" fontId="6" fillId="0" borderId="1" xfId="8" applyFont="1" applyBorder="1" applyAlignment="1">
      <alignment vertical="center"/>
    </xf>
    <xf numFmtId="0" fontId="16" fillId="0" borderId="0" xfId="0" applyFont="1">
      <alignment vertical="center"/>
    </xf>
    <xf numFmtId="176" fontId="11" fillId="0" borderId="0" xfId="0" applyNumberFormat="1" applyFont="1" applyAlignment="1">
      <alignment vertical="center" shrinkToFit="1"/>
    </xf>
    <xf numFmtId="0" fontId="16" fillId="0" borderId="0" xfId="8" applyFont="1" applyAlignment="1">
      <alignment vertical="center"/>
    </xf>
    <xf numFmtId="0" fontId="6" fillId="0" borderId="6" xfId="8" applyFont="1" applyBorder="1" applyAlignment="1">
      <alignment horizontal="right" vertical="top"/>
    </xf>
    <xf numFmtId="0" fontId="16" fillId="0" borderId="0" xfId="0" applyFont="1" applyAlignment="1">
      <alignment horizontal="center" vertical="top"/>
    </xf>
    <xf numFmtId="0" fontId="6" fillId="0" borderId="6" xfId="8" applyFont="1" applyBorder="1" applyAlignment="1">
      <alignment horizontal="left" vertical="top"/>
    </xf>
    <xf numFmtId="0" fontId="6" fillId="0" borderId="4" xfId="8" applyFont="1" applyBorder="1" applyAlignment="1">
      <alignment horizontal="left" vertical="top"/>
    </xf>
    <xf numFmtId="0" fontId="6" fillId="0" borderId="1" xfId="8" applyFont="1" applyBorder="1" applyAlignment="1">
      <alignment horizontal="center" vertical="center"/>
    </xf>
    <xf numFmtId="0" fontId="6" fillId="0" borderId="5" xfId="8" applyFont="1" applyBorder="1" applyAlignment="1">
      <alignment horizontal="center" vertical="center"/>
    </xf>
    <xf numFmtId="0" fontId="6" fillId="0" borderId="0" xfId="8" applyFont="1" applyAlignment="1">
      <alignment vertical="center"/>
    </xf>
    <xf numFmtId="0" fontId="6" fillId="0" borderId="3" xfId="8" applyFont="1" applyBorder="1" applyAlignment="1">
      <alignment vertical="center"/>
    </xf>
    <xf numFmtId="49" fontId="13" fillId="0" borderId="0" xfId="0" applyNumberFormat="1" applyFont="1" applyAlignment="1">
      <alignment horizontal="center" vertical="center" wrapText="1"/>
    </xf>
    <xf numFmtId="0" fontId="12" fillId="0" borderId="13" xfId="8" applyFont="1" applyBorder="1" applyAlignment="1">
      <alignment horizontal="center" vertical="center" wrapText="1"/>
    </xf>
    <xf numFmtId="0" fontId="12" fillId="0" borderId="14" xfId="8" applyFont="1" applyBorder="1" applyAlignment="1">
      <alignment horizontal="center" vertical="center" wrapText="1"/>
    </xf>
    <xf numFmtId="0" fontId="13" fillId="0" borderId="2" xfId="8" applyFont="1" applyBorder="1" applyAlignment="1">
      <alignment horizontal="left" vertical="center"/>
    </xf>
    <xf numFmtId="0" fontId="13" fillId="0" borderId="6" xfId="8" applyFont="1" applyBorder="1" applyAlignment="1">
      <alignment horizontal="left" vertical="center"/>
    </xf>
    <xf numFmtId="0" fontId="13" fillId="0" borderId="4" xfId="8" applyFont="1" applyBorder="1" applyAlignment="1">
      <alignment horizontal="left" vertical="center"/>
    </xf>
    <xf numFmtId="176" fontId="14" fillId="0" borderId="0" xfId="0" applyNumberFormat="1" applyFont="1" applyAlignment="1">
      <alignment horizontal="left" vertical="center" shrinkToFit="1"/>
    </xf>
    <xf numFmtId="176" fontId="14" fillId="0" borderId="1" xfId="0" applyNumberFormat="1" applyFont="1" applyBorder="1" applyAlignment="1">
      <alignment horizontal="left" vertical="center" shrinkToFit="1"/>
    </xf>
    <xf numFmtId="0" fontId="13" fillId="0" borderId="12" xfId="8" applyFont="1" applyBorder="1" applyAlignment="1">
      <alignment horizontal="left" vertical="center" wrapText="1"/>
    </xf>
    <xf numFmtId="0" fontId="13" fillId="0" borderId="7" xfId="8" applyFont="1" applyBorder="1" applyAlignment="1">
      <alignment horizontal="left" vertical="center" wrapText="1"/>
    </xf>
    <xf numFmtId="0" fontId="13" fillId="0" borderId="5" xfId="8" applyFont="1" applyBorder="1" applyAlignment="1">
      <alignment horizontal="left" vertical="center" wrapText="1"/>
    </xf>
    <xf numFmtId="0" fontId="13" fillId="0" borderId="0" xfId="8" applyFont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1" xfId="8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5" fillId="0" borderId="0" xfId="8" applyFont="1" applyAlignment="1">
      <alignment horizontal="center" vertical="center"/>
    </xf>
    <xf numFmtId="0" fontId="14" fillId="0" borderId="0" xfId="8" applyFont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3" fillId="0" borderId="0" xfId="8" applyFont="1" applyAlignment="1">
      <alignment horizontal="center" vertical="center"/>
    </xf>
    <xf numFmtId="179" fontId="15" fillId="0" borderId="0" xfId="8" applyNumberFormat="1" applyFont="1" applyAlignment="1">
      <alignment horizontal="right" vertical="center"/>
    </xf>
    <xf numFmtId="176" fontId="14" fillId="0" borderId="6" xfId="0" applyNumberFormat="1" applyFont="1" applyBorder="1" applyAlignment="1">
      <alignment horizontal="center" vertical="center" shrinkToFit="1"/>
    </xf>
    <xf numFmtId="0" fontId="13" fillId="0" borderId="7" xfId="8" applyFont="1" applyBorder="1" applyAlignment="1">
      <alignment horizontal="left" vertical="center"/>
    </xf>
    <xf numFmtId="0" fontId="13" fillId="0" borderId="5" xfId="8" applyFont="1" applyBorder="1" applyAlignment="1">
      <alignment horizontal="left" vertical="center"/>
    </xf>
    <xf numFmtId="0" fontId="12" fillId="0" borderId="15" xfId="8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1" fillId="0" borderId="9" xfId="8" applyFont="1" applyBorder="1" applyAlignment="1">
      <alignment horizontal="center" vertical="center"/>
    </xf>
    <xf numFmtId="0" fontId="11" fillId="0" borderId="11" xfId="8" applyFont="1" applyBorder="1" applyAlignment="1">
      <alignment horizontal="center" vertical="center"/>
    </xf>
    <xf numFmtId="0" fontId="12" fillId="0" borderId="13" xfId="8" applyFont="1" applyBorder="1" applyAlignment="1">
      <alignment horizontal="center" vertical="center"/>
    </xf>
    <xf numFmtId="0" fontId="12" fillId="0" borderId="14" xfId="8" applyFont="1" applyBorder="1" applyAlignment="1">
      <alignment horizontal="center" vertical="center"/>
    </xf>
    <xf numFmtId="0" fontId="12" fillId="0" borderId="8" xfId="8" applyFont="1" applyBorder="1" applyAlignment="1">
      <alignment horizontal="center" vertical="center" wrapText="1"/>
    </xf>
    <xf numFmtId="0" fontId="12" fillId="0" borderId="8" xfId="8" applyFont="1" applyBorder="1" applyAlignment="1">
      <alignment horizontal="center" vertical="center"/>
    </xf>
    <xf numFmtId="178" fontId="16" fillId="0" borderId="9" xfId="8" applyNumberFormat="1" applyFont="1" applyBorder="1" applyAlignment="1">
      <alignment horizontal="center" vertical="center"/>
    </xf>
    <xf numFmtId="178" fontId="16" fillId="0" borderId="10" xfId="8" applyNumberFormat="1" applyFont="1" applyBorder="1" applyAlignment="1">
      <alignment horizontal="center" vertical="center"/>
    </xf>
    <xf numFmtId="178" fontId="16" fillId="0" borderId="11" xfId="8" applyNumberFormat="1" applyFont="1" applyBorder="1" applyAlignment="1">
      <alignment horizontal="center" vertical="center"/>
    </xf>
    <xf numFmtId="0" fontId="14" fillId="0" borderId="3" xfId="8" applyFont="1" applyBorder="1" applyAlignment="1">
      <alignment horizontal="left" vertical="center" wrapText="1"/>
    </xf>
    <xf numFmtId="0" fontId="14" fillId="0" borderId="0" xfId="8" applyFont="1" applyAlignment="1">
      <alignment horizontal="left" vertical="center" wrapText="1"/>
    </xf>
    <xf numFmtId="0" fontId="14" fillId="0" borderId="1" xfId="8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7" fillId="0" borderId="8" xfId="1" applyNumberFormat="1" applyFont="1" applyFill="1" applyBorder="1" applyAlignment="1">
      <alignment horizontal="center" vertical="center" shrinkToFit="1"/>
    </xf>
    <xf numFmtId="178" fontId="11" fillId="0" borderId="8" xfId="8" applyNumberFormat="1" applyFont="1" applyBorder="1" applyAlignment="1">
      <alignment horizontal="center" vertical="center" wrapText="1"/>
    </xf>
    <xf numFmtId="178" fontId="11" fillId="0" borderId="8" xfId="8" applyNumberFormat="1" applyFont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3" fillId="0" borderId="2" xfId="8" applyFont="1" applyBorder="1" applyAlignment="1">
      <alignment horizontal="center" vertical="center" shrinkToFit="1"/>
    </xf>
    <xf numFmtId="0" fontId="13" fillId="0" borderId="6" xfId="8" applyFont="1" applyBorder="1" applyAlignment="1">
      <alignment horizontal="center" vertical="center" shrinkToFit="1"/>
    </xf>
    <xf numFmtId="0" fontId="13" fillId="0" borderId="4" xfId="8" applyFont="1" applyBorder="1" applyAlignment="1">
      <alignment horizontal="center" vertical="center" shrinkToFit="1"/>
    </xf>
    <xf numFmtId="0" fontId="6" fillId="0" borderId="2" xfId="8" applyFont="1" applyBorder="1" applyAlignment="1">
      <alignment horizontal="center" vertical="center"/>
    </xf>
    <xf numFmtId="0" fontId="6" fillId="0" borderId="6" xfId="8" applyFont="1" applyBorder="1" applyAlignment="1">
      <alignment horizontal="center" vertical="center"/>
    </xf>
    <xf numFmtId="0" fontId="14" fillId="0" borderId="6" xfId="8" applyFont="1" applyBorder="1" applyAlignment="1">
      <alignment horizontal="center" vertical="center"/>
    </xf>
    <xf numFmtId="0" fontId="11" fillId="0" borderId="2" xfId="8" applyFont="1" applyBorder="1" applyAlignment="1">
      <alignment horizontal="left" vertical="center" wrapText="1"/>
    </xf>
    <xf numFmtId="0" fontId="11" fillId="0" borderId="6" xfId="8" applyFont="1" applyBorder="1" applyAlignment="1">
      <alignment horizontal="left" vertical="center" wrapText="1"/>
    </xf>
    <xf numFmtId="0" fontId="11" fillId="0" borderId="4" xfId="8" applyFont="1" applyBorder="1" applyAlignment="1">
      <alignment horizontal="left" vertical="center" wrapText="1"/>
    </xf>
    <xf numFmtId="0" fontId="11" fillId="0" borderId="12" xfId="8" applyFont="1" applyBorder="1" applyAlignment="1">
      <alignment horizontal="left" vertical="center" wrapText="1"/>
    </xf>
    <xf numFmtId="0" fontId="11" fillId="0" borderId="7" xfId="8" applyFont="1" applyBorder="1" applyAlignment="1">
      <alignment horizontal="left" vertical="center" wrapText="1"/>
    </xf>
    <xf numFmtId="0" fontId="11" fillId="0" borderId="5" xfId="8" applyFont="1" applyBorder="1" applyAlignment="1">
      <alignment horizontal="left" vertical="center" wrapText="1"/>
    </xf>
    <xf numFmtId="0" fontId="8" fillId="0" borderId="2" xfId="8" applyFont="1" applyBorder="1" applyAlignment="1">
      <alignment horizontal="center" vertical="center"/>
    </xf>
    <xf numFmtId="0" fontId="8" fillId="0" borderId="6" xfId="8" applyFont="1" applyBorder="1" applyAlignment="1">
      <alignment horizontal="center" vertical="center"/>
    </xf>
    <xf numFmtId="0" fontId="8" fillId="0" borderId="4" xfId="8" applyFont="1" applyBorder="1" applyAlignment="1">
      <alignment horizontal="center" vertical="center"/>
    </xf>
    <xf numFmtId="0" fontId="8" fillId="0" borderId="12" xfId="8" applyFont="1" applyBorder="1" applyAlignment="1">
      <alignment horizontal="center" vertical="center"/>
    </xf>
    <xf numFmtId="0" fontId="8" fillId="0" borderId="7" xfId="8" applyFont="1" applyBorder="1" applyAlignment="1">
      <alignment horizontal="center" vertical="center"/>
    </xf>
    <xf numFmtId="0" fontId="8" fillId="0" borderId="5" xfId="8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2" fillId="0" borderId="12" xfId="8" applyFont="1" applyBorder="1" applyAlignment="1">
      <alignment horizontal="center" vertical="center"/>
    </xf>
    <xf numFmtId="0" fontId="12" fillId="0" borderId="7" xfId="8" applyFont="1" applyBorder="1" applyAlignment="1">
      <alignment horizontal="center" vertical="center"/>
    </xf>
    <xf numFmtId="0" fontId="12" fillId="0" borderId="5" xfId="8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18" fillId="0" borderId="9" xfId="8" applyFont="1" applyBorder="1" applyAlignment="1">
      <alignment horizontal="center" vertical="center"/>
    </xf>
    <xf numFmtId="0" fontId="18" fillId="0" borderId="10" xfId="8" applyFont="1" applyBorder="1" applyAlignment="1">
      <alignment horizontal="center" vertical="center"/>
    </xf>
    <xf numFmtId="0" fontId="18" fillId="0" borderId="11" xfId="8" applyFont="1" applyBorder="1" applyAlignment="1">
      <alignment horizontal="center" vertical="center"/>
    </xf>
    <xf numFmtId="0" fontId="11" fillId="0" borderId="8" xfId="8" applyFont="1" applyBorder="1" applyAlignment="1">
      <alignment horizontal="center" vertical="center"/>
    </xf>
    <xf numFmtId="0" fontId="16" fillId="0" borderId="9" xfId="8" applyFont="1" applyBorder="1" applyAlignment="1">
      <alignment horizontal="center" vertical="center" shrinkToFit="1"/>
    </xf>
    <xf numFmtId="0" fontId="16" fillId="0" borderId="10" xfId="8" applyFont="1" applyBorder="1" applyAlignment="1">
      <alignment horizontal="center" vertical="center" shrinkToFit="1"/>
    </xf>
    <xf numFmtId="0" fontId="16" fillId="0" borderId="11" xfId="8" applyFont="1" applyBorder="1" applyAlignment="1">
      <alignment horizontal="center" vertical="center" shrinkToFit="1"/>
    </xf>
    <xf numFmtId="177" fontId="11" fillId="0" borderId="8" xfId="8" applyNumberFormat="1" applyFont="1" applyBorder="1" applyAlignment="1">
      <alignment horizontal="center" vertical="center" shrinkToFit="1"/>
    </xf>
    <xf numFmtId="0" fontId="12" fillId="0" borderId="9" xfId="8" applyFont="1" applyBorder="1" applyAlignment="1">
      <alignment horizontal="center" vertical="center" shrinkToFit="1"/>
    </xf>
    <xf numFmtId="0" fontId="12" fillId="0" borderId="10" xfId="8" applyFont="1" applyBorder="1" applyAlignment="1">
      <alignment horizontal="center" vertical="center" shrinkToFit="1"/>
    </xf>
    <xf numFmtId="0" fontId="12" fillId="0" borderId="11" xfId="8" applyFont="1" applyBorder="1" applyAlignment="1">
      <alignment horizontal="center" vertical="center" shrinkToFit="1"/>
    </xf>
    <xf numFmtId="0" fontId="15" fillId="0" borderId="9" xfId="8" applyFont="1" applyBorder="1" applyAlignment="1">
      <alignment horizontal="center" vertical="center"/>
    </xf>
    <xf numFmtId="0" fontId="15" fillId="0" borderId="10" xfId="8" applyFont="1" applyBorder="1" applyAlignment="1">
      <alignment horizontal="center" vertical="center"/>
    </xf>
    <xf numFmtId="0" fontId="15" fillId="0" borderId="11" xfId="8" applyFont="1" applyBorder="1" applyAlignment="1">
      <alignment horizontal="center" vertical="center"/>
    </xf>
    <xf numFmtId="178" fontId="11" fillId="0" borderId="9" xfId="8" applyNumberFormat="1" applyFont="1" applyBorder="1" applyAlignment="1">
      <alignment horizontal="center" vertical="center"/>
    </xf>
    <xf numFmtId="178" fontId="11" fillId="0" borderId="10" xfId="8" applyNumberFormat="1" applyFont="1" applyBorder="1" applyAlignment="1">
      <alignment horizontal="center" vertical="center"/>
    </xf>
    <xf numFmtId="178" fontId="11" fillId="0" borderId="11" xfId="8" applyNumberFormat="1" applyFont="1" applyBorder="1" applyAlignment="1">
      <alignment horizontal="center" vertical="center"/>
    </xf>
    <xf numFmtId="0" fontId="6" fillId="0" borderId="0" xfId="8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6" fillId="0" borderId="0" xfId="8" applyFont="1" applyAlignment="1">
      <alignment horizontal="left" vertical="center"/>
    </xf>
    <xf numFmtId="0" fontId="13" fillId="0" borderId="3" xfId="8" applyFont="1" applyBorder="1" applyAlignment="1">
      <alignment horizontal="left" vertical="center" wrapText="1"/>
    </xf>
    <xf numFmtId="0" fontId="13" fillId="0" borderId="0" xfId="8" applyFont="1" applyAlignment="1">
      <alignment horizontal="left" vertical="center" wrapText="1"/>
    </xf>
    <xf numFmtId="0" fontId="13" fillId="0" borderId="1" xfId="8" applyFont="1" applyBorder="1" applyAlignment="1">
      <alignment horizontal="left" vertical="center" wrapText="1"/>
    </xf>
    <xf numFmtId="0" fontId="13" fillId="0" borderId="3" xfId="8" applyFont="1" applyBorder="1" applyAlignment="1">
      <alignment horizontal="left" vertical="center"/>
    </xf>
    <xf numFmtId="0" fontId="6" fillId="0" borderId="2" xfId="8" applyFont="1" applyBorder="1" applyAlignment="1">
      <alignment horizontal="left" vertical="center"/>
    </xf>
    <xf numFmtId="0" fontId="6" fillId="0" borderId="6" xfId="8" applyFont="1" applyBorder="1" applyAlignment="1">
      <alignment horizontal="left" vertical="center"/>
    </xf>
    <xf numFmtId="0" fontId="6" fillId="0" borderId="4" xfId="8" applyFont="1" applyBorder="1" applyAlignment="1">
      <alignment horizontal="left" vertical="center"/>
    </xf>
    <xf numFmtId="0" fontId="6" fillId="0" borderId="6" xfId="8" applyFont="1" applyBorder="1" applyAlignment="1">
      <alignment horizontal="left" vertical="center" wrapText="1"/>
    </xf>
    <xf numFmtId="0" fontId="6" fillId="0" borderId="7" xfId="8" applyFont="1" applyBorder="1" applyAlignment="1">
      <alignment horizontal="center" vertical="center"/>
    </xf>
    <xf numFmtId="0" fontId="11" fillId="0" borderId="9" xfId="8" applyFont="1" applyBorder="1" applyAlignment="1">
      <alignment horizontal="center" vertical="center" shrinkToFit="1"/>
    </xf>
    <xf numFmtId="0" fontId="11" fillId="0" borderId="10" xfId="8" applyFont="1" applyBorder="1" applyAlignment="1">
      <alignment horizontal="center" vertical="center" shrinkToFit="1"/>
    </xf>
    <xf numFmtId="0" fontId="11" fillId="0" borderId="11" xfId="8" applyFont="1" applyBorder="1" applyAlignment="1">
      <alignment horizontal="center" vertical="center" shrinkToFit="1"/>
    </xf>
    <xf numFmtId="0" fontId="11" fillId="0" borderId="9" xfId="8" applyFont="1" applyBorder="1" applyAlignment="1">
      <alignment horizontal="center" vertical="center" wrapText="1" shrinkToFit="1"/>
    </xf>
    <xf numFmtId="0" fontId="11" fillId="0" borderId="10" xfId="8" applyFont="1" applyBorder="1" applyAlignment="1">
      <alignment horizontal="center" vertical="center" wrapText="1" shrinkToFit="1"/>
    </xf>
    <xf numFmtId="0" fontId="11" fillId="0" borderId="11" xfId="8" applyFont="1" applyBorder="1" applyAlignment="1">
      <alignment horizontal="center" vertical="center" wrapText="1" shrinkToFit="1"/>
    </xf>
    <xf numFmtId="0" fontId="20" fillId="0" borderId="16" xfId="0" applyFont="1" applyBorder="1" applyAlignment="1">
      <alignment horizontal="left" vertical="center" wrapText="1"/>
    </xf>
    <xf numFmtId="0" fontId="14" fillId="0" borderId="6" xfId="8" applyFont="1" applyBorder="1" applyAlignment="1">
      <alignment horizontal="left" vertical="center" wrapText="1"/>
    </xf>
    <xf numFmtId="0" fontId="14" fillId="0" borderId="4" xfId="8" applyFont="1" applyBorder="1" applyAlignment="1">
      <alignment horizontal="left" vertical="center" wrapText="1"/>
    </xf>
    <xf numFmtId="0" fontId="14" fillId="0" borderId="12" xfId="8" applyFont="1" applyBorder="1" applyAlignment="1">
      <alignment horizontal="left" vertical="center" wrapText="1"/>
    </xf>
    <xf numFmtId="0" fontId="14" fillId="0" borderId="7" xfId="8" applyFont="1" applyBorder="1" applyAlignment="1">
      <alignment horizontal="left" vertical="center" wrapText="1"/>
    </xf>
    <xf numFmtId="0" fontId="14" fillId="0" borderId="7" xfId="8" applyFont="1" applyBorder="1" applyAlignment="1">
      <alignment horizontal="left" vertical="center"/>
    </xf>
    <xf numFmtId="0" fontId="0" fillId="0" borderId="0" xfId="0">
      <alignment vertical="center"/>
    </xf>
    <xf numFmtId="0" fontId="6" fillId="0" borderId="5" xfId="8" applyFont="1" applyBorder="1" applyAlignment="1">
      <alignment horizontal="center" vertical="center"/>
    </xf>
    <xf numFmtId="0" fontId="11" fillId="0" borderId="9" xfId="8" applyFont="1" applyBorder="1" applyAlignment="1">
      <alignment horizontal="left" vertical="center" wrapText="1"/>
    </xf>
    <xf numFmtId="0" fontId="11" fillId="0" borderId="10" xfId="8" applyFont="1" applyBorder="1" applyAlignment="1">
      <alignment horizontal="left" vertical="center" wrapText="1"/>
    </xf>
    <xf numFmtId="0" fontId="11" fillId="0" borderId="11" xfId="8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12" fillId="0" borderId="15" xfId="8" applyFont="1" applyBorder="1" applyAlignment="1">
      <alignment horizontal="center" vertical="center" wrapText="1"/>
    </xf>
    <xf numFmtId="0" fontId="16" fillId="0" borderId="8" xfId="8" applyFont="1" applyBorder="1" applyAlignment="1">
      <alignment horizontal="center" vertical="center" shrinkToFit="1"/>
    </xf>
    <xf numFmtId="0" fontId="12" fillId="0" borderId="9" xfId="8" applyFont="1" applyBorder="1" applyAlignment="1">
      <alignment horizontal="center" vertical="center"/>
    </xf>
    <xf numFmtId="0" fontId="9" fillId="0" borderId="2" xfId="8" applyFont="1" applyBorder="1" applyAlignment="1">
      <alignment horizontal="center" vertical="center"/>
    </xf>
    <xf numFmtId="0" fontId="9" fillId="0" borderId="6" xfId="8" applyFont="1" applyBorder="1" applyAlignment="1">
      <alignment horizontal="center" vertical="center"/>
    </xf>
    <xf numFmtId="0" fontId="9" fillId="0" borderId="4" xfId="8" applyFont="1" applyBorder="1" applyAlignment="1">
      <alignment horizontal="center" vertical="center"/>
    </xf>
    <xf numFmtId="0" fontId="9" fillId="0" borderId="3" xfId="8" applyFont="1" applyBorder="1" applyAlignment="1">
      <alignment horizontal="center" vertical="center"/>
    </xf>
    <xf numFmtId="0" fontId="9" fillId="0" borderId="0" xfId="8" applyFont="1" applyAlignment="1">
      <alignment horizontal="center" vertical="center"/>
    </xf>
    <xf numFmtId="0" fontId="9" fillId="0" borderId="1" xfId="8" applyFont="1" applyBorder="1" applyAlignment="1">
      <alignment horizontal="center" vertical="center"/>
    </xf>
    <xf numFmtId="0" fontId="9" fillId="0" borderId="12" xfId="8" applyFont="1" applyBorder="1" applyAlignment="1">
      <alignment horizontal="center" vertical="center"/>
    </xf>
    <xf numFmtId="0" fontId="9" fillId="0" borderId="7" xfId="8" applyFont="1" applyBorder="1" applyAlignment="1">
      <alignment horizontal="center" vertical="center"/>
    </xf>
    <xf numFmtId="0" fontId="9" fillId="0" borderId="5" xfId="8" applyFont="1" applyBorder="1" applyAlignment="1">
      <alignment horizontal="center" vertical="center"/>
    </xf>
    <xf numFmtId="0" fontId="13" fillId="0" borderId="6" xfId="8" applyFont="1" applyBorder="1" applyAlignment="1">
      <alignment horizontal="center" vertical="center"/>
    </xf>
    <xf numFmtId="0" fontId="6" fillId="0" borderId="7" xfId="8" applyFont="1" applyBorder="1" applyAlignment="1">
      <alignment horizontal="left" vertical="center"/>
    </xf>
    <xf numFmtId="0" fontId="14" fillId="0" borderId="12" xfId="8" applyFont="1" applyBorder="1" applyAlignment="1">
      <alignment horizontal="center" vertical="center"/>
    </xf>
    <xf numFmtId="0" fontId="14" fillId="0" borderId="7" xfId="8" applyFont="1" applyBorder="1" applyAlignment="1">
      <alignment horizontal="center" vertical="center"/>
    </xf>
    <xf numFmtId="0" fontId="10" fillId="0" borderId="0" xfId="0" applyFont="1">
      <alignment vertical="center"/>
    </xf>
    <xf numFmtId="0" fontId="21" fillId="0" borderId="0" xfId="0" applyFont="1">
      <alignment vertical="center"/>
    </xf>
    <xf numFmtId="0" fontId="21" fillId="2" borderId="0" xfId="0" applyFont="1" applyFill="1" applyAlignment="1">
      <alignment horizontal="center" vertical="center"/>
    </xf>
    <xf numFmtId="3" fontId="21" fillId="3" borderId="0" xfId="0" applyNumberFormat="1" applyFont="1" applyFill="1">
      <alignment vertical="center"/>
    </xf>
    <xf numFmtId="2" fontId="0" fillId="0" borderId="0" xfId="0" applyNumberFormat="1">
      <alignment vertical="center"/>
    </xf>
    <xf numFmtId="3" fontId="0" fillId="0" borderId="0" xfId="0" applyNumberFormat="1">
      <alignment vertical="center"/>
    </xf>
    <xf numFmtId="2" fontId="21" fillId="0" borderId="0" xfId="0" applyNumberFormat="1" applyFont="1">
      <alignment vertical="center"/>
    </xf>
    <xf numFmtId="4" fontId="21" fillId="0" borderId="0" xfId="0" applyNumberFormat="1" applyFont="1">
      <alignment vertical="center"/>
    </xf>
    <xf numFmtId="3" fontId="21" fillId="0" borderId="0" xfId="0" applyNumberFormat="1" applyFont="1">
      <alignment vertical="center"/>
    </xf>
  </cellXfs>
  <cellStyles count="15">
    <cellStyle name="백분율 2" xfId="1" xr:uid="{00000000-0005-0000-0000-000000000000}"/>
    <cellStyle name="백분율 3" xfId="2" xr:uid="{00000000-0005-0000-0000-000001000000}"/>
    <cellStyle name="쉼표 [0] 2" xfId="3" xr:uid="{00000000-0005-0000-0000-000002000000}"/>
    <cellStyle name="쉼표 [0] 3" xfId="4" xr:uid="{00000000-0005-0000-0000-000003000000}"/>
    <cellStyle name="쉼표 [0] 8" xfId="5" xr:uid="{00000000-0005-0000-0000-000004000000}"/>
    <cellStyle name="통화 [0] 2" xfId="6" xr:uid="{00000000-0005-0000-0000-000005000000}"/>
    <cellStyle name="통화 [0] 3" xfId="7" xr:uid="{00000000-0005-0000-0000-000006000000}"/>
    <cellStyle name="표준" xfId="0" builtinId="0"/>
    <cellStyle name="표준 2" xfId="8" xr:uid="{00000000-0005-0000-0000-000008000000}"/>
    <cellStyle name="표준 2 2" xfId="9" xr:uid="{00000000-0005-0000-0000-000009000000}"/>
    <cellStyle name="표준 2 3" xfId="10" xr:uid="{00000000-0005-0000-0000-00000A000000}"/>
    <cellStyle name="표준 3" xfId="11" xr:uid="{00000000-0005-0000-0000-00000B000000}"/>
    <cellStyle name="표준 4" xfId="13" xr:uid="{00000000-0005-0000-0000-00000C000000}"/>
    <cellStyle name="표준 5" xfId="14" xr:uid="{00000000-0005-0000-0000-00000D000000}"/>
    <cellStyle name="하이퍼링크 2" xfId="12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0D08ED7-CF5D-41C5-B727-F2F616A0583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adeb029-e9a6-47be-9d40-e75540d4212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63"/>
  <sheetViews>
    <sheetView tabSelected="1" zoomScaleNormal="100" workbookViewId="0">
      <selection activeCell="AM26" sqref="AM26"/>
    </sheetView>
  </sheetViews>
  <sheetFormatPr defaultRowHeight="17.399999999999999" x14ac:dyDescent="0.4"/>
  <cols>
    <col min="1" max="1" width="7.796875" customWidth="1"/>
    <col min="2" max="36" width="2.796875" customWidth="1"/>
    <col min="38" max="38" width="37" bestFit="1" customWidth="1"/>
    <col min="39" max="39" width="9.8984375" bestFit="1" customWidth="1"/>
    <col min="40" max="40" width="12.69921875" bestFit="1" customWidth="1"/>
  </cols>
  <sheetData>
    <row r="1" spans="1:40" ht="13.5" customHeight="1" x14ac:dyDescent="0.4">
      <c r="A1" s="148" t="s">
        <v>29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</row>
    <row r="2" spans="1:40" ht="12.75" customHeight="1" x14ac:dyDescent="0.4">
      <c r="A2" s="152" t="s">
        <v>6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4"/>
      <c r="AL2" s="165" t="s">
        <v>131</v>
      </c>
    </row>
    <row r="3" spans="1:40" ht="12.75" customHeight="1" x14ac:dyDescent="0.4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7"/>
      <c r="AL3" s="167" t="s">
        <v>132</v>
      </c>
      <c r="AM3" s="167" t="s">
        <v>133</v>
      </c>
      <c r="AN3" s="167" t="s">
        <v>134</v>
      </c>
    </row>
    <row r="4" spans="1:40" ht="12.75" customHeight="1" x14ac:dyDescent="0.4">
      <c r="A4" s="158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60"/>
      <c r="AL4" t="s">
        <v>135</v>
      </c>
      <c r="AN4" s="168">
        <f>R27</f>
        <v>300000</v>
      </c>
    </row>
    <row r="5" spans="1:40" ht="19.5" customHeight="1" x14ac:dyDescent="0.4">
      <c r="A5" s="151" t="s">
        <v>30</v>
      </c>
      <c r="B5" s="150" t="s">
        <v>31</v>
      </c>
      <c r="C5" s="150"/>
      <c r="D5" s="131" t="s">
        <v>0</v>
      </c>
      <c r="E5" s="132"/>
      <c r="F5" s="133"/>
      <c r="G5" s="131" t="s">
        <v>32</v>
      </c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3"/>
      <c r="W5" s="131" t="s">
        <v>1</v>
      </c>
      <c r="X5" s="132"/>
      <c r="Y5" s="133"/>
      <c r="Z5" s="131" t="s">
        <v>33</v>
      </c>
      <c r="AA5" s="132"/>
      <c r="AB5" s="132"/>
      <c r="AC5" s="132"/>
      <c r="AD5" s="132"/>
      <c r="AE5" s="132"/>
      <c r="AF5" s="132"/>
      <c r="AG5" s="132"/>
      <c r="AH5" s="132"/>
      <c r="AI5" s="132"/>
      <c r="AJ5" s="133"/>
      <c r="AL5" t="s">
        <v>10</v>
      </c>
      <c r="AM5" s="169">
        <f>--SUBSTITUTE(H33,"H","")</f>
        <v>8</v>
      </c>
      <c r="AN5" s="170">
        <f>ROUND($AN$4/$AM$13*AM5,0)</f>
        <v>214861</v>
      </c>
    </row>
    <row r="6" spans="1:40" ht="19.5" customHeight="1" x14ac:dyDescent="0.4">
      <c r="A6" s="151"/>
      <c r="B6" s="150"/>
      <c r="C6" s="150"/>
      <c r="D6" s="131" t="s">
        <v>2</v>
      </c>
      <c r="E6" s="132"/>
      <c r="F6" s="133"/>
      <c r="G6" s="134" t="s">
        <v>34</v>
      </c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6"/>
      <c r="W6" s="131" t="s">
        <v>3</v>
      </c>
      <c r="X6" s="132"/>
      <c r="Y6" s="133"/>
      <c r="Z6" s="131" t="s">
        <v>35</v>
      </c>
      <c r="AA6" s="132"/>
      <c r="AB6" s="132"/>
      <c r="AC6" s="132"/>
      <c r="AD6" s="132"/>
      <c r="AE6" s="132"/>
      <c r="AF6" s="132"/>
      <c r="AG6" s="132"/>
      <c r="AH6" s="132"/>
      <c r="AI6" s="132"/>
      <c r="AJ6" s="133"/>
      <c r="AL6" t="s">
        <v>101</v>
      </c>
      <c r="AM6" s="169">
        <f>--SUBSTITUTE(L33,"H","")</f>
        <v>1.6</v>
      </c>
      <c r="AN6" s="170">
        <f>ROUND($AN$4/$AM$13*AM6,0)</f>
        <v>42972</v>
      </c>
    </row>
    <row r="7" spans="1:40" ht="19.5" customHeight="1" x14ac:dyDescent="0.4">
      <c r="A7" s="151"/>
      <c r="B7" s="150" t="s">
        <v>36</v>
      </c>
      <c r="C7" s="150"/>
      <c r="D7" s="131" t="s">
        <v>4</v>
      </c>
      <c r="E7" s="132"/>
      <c r="F7" s="133"/>
      <c r="G7" s="131" t="s">
        <v>37</v>
      </c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3"/>
      <c r="W7" s="131" t="s">
        <v>38</v>
      </c>
      <c r="X7" s="132"/>
      <c r="Y7" s="133"/>
      <c r="Z7" s="131" t="s">
        <v>39</v>
      </c>
      <c r="AA7" s="132"/>
      <c r="AB7" s="132"/>
      <c r="AC7" s="132"/>
      <c r="AD7" s="132"/>
      <c r="AE7" s="132"/>
      <c r="AF7" s="132"/>
      <c r="AG7" s="132"/>
      <c r="AH7" s="132"/>
      <c r="AI7" s="132"/>
      <c r="AJ7" s="133"/>
      <c r="AL7" t="s">
        <v>16</v>
      </c>
      <c r="AM7" s="169">
        <f>--SUBSTITUTE(P33,"H","")</f>
        <v>0.67</v>
      </c>
      <c r="AN7" s="170">
        <f>ROUND($AN$4/$AM$13*AM7,0)</f>
        <v>17995</v>
      </c>
    </row>
    <row r="8" spans="1:40" ht="19.5" customHeight="1" x14ac:dyDescent="0.4">
      <c r="A8" s="151"/>
      <c r="B8" s="150"/>
      <c r="C8" s="150"/>
      <c r="D8" s="131" t="s">
        <v>5</v>
      </c>
      <c r="E8" s="132"/>
      <c r="F8" s="133"/>
      <c r="G8" s="134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6"/>
      <c r="W8" s="131" t="s">
        <v>40</v>
      </c>
      <c r="X8" s="132"/>
      <c r="Y8" s="133"/>
      <c r="Z8" s="131" t="s">
        <v>41</v>
      </c>
      <c r="AA8" s="132"/>
      <c r="AB8" s="132"/>
      <c r="AC8" s="132"/>
      <c r="AD8" s="132"/>
      <c r="AE8" s="132"/>
      <c r="AF8" s="132"/>
      <c r="AG8" s="132"/>
      <c r="AH8" s="132"/>
      <c r="AI8" s="132"/>
      <c r="AJ8" s="133"/>
      <c r="AL8" t="s">
        <v>79</v>
      </c>
      <c r="AM8" s="169">
        <f>--SUBSTITUTE(T33,"H","")</f>
        <v>0.9</v>
      </c>
      <c r="AN8" s="170">
        <f>ROUND($AN$4/$AM$13*AM8,0)</f>
        <v>24172</v>
      </c>
    </row>
    <row r="9" spans="1:40" ht="12" customHeight="1" x14ac:dyDescent="0.4">
      <c r="A9" s="14" t="s">
        <v>42</v>
      </c>
      <c r="B9" s="16" t="s">
        <v>43</v>
      </c>
      <c r="C9" s="17"/>
      <c r="D9" s="17"/>
      <c r="E9" s="17"/>
      <c r="F9" s="17"/>
      <c r="G9" s="17"/>
      <c r="H9" s="17"/>
      <c r="I9" s="161" t="s">
        <v>44</v>
      </c>
      <c r="J9" s="161"/>
      <c r="K9" s="161"/>
      <c r="L9" s="161"/>
      <c r="M9" s="161"/>
      <c r="N9" s="161"/>
      <c r="O9" s="161"/>
      <c r="P9" s="161"/>
      <c r="Q9" s="161"/>
      <c r="R9" s="161"/>
      <c r="S9" s="161"/>
      <c r="T9" s="161"/>
      <c r="U9" s="161"/>
      <c r="V9" s="17" t="s">
        <v>45</v>
      </c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8"/>
      <c r="AL9" t="s">
        <v>82</v>
      </c>
      <c r="AM9" s="169">
        <f>--SUBSTITUTE(X33,"H","")</f>
        <v>0</v>
      </c>
      <c r="AN9" s="170">
        <f>ROUND($AN$4/$AM$13*AM9,0)</f>
        <v>0</v>
      </c>
    </row>
    <row r="10" spans="1:40" ht="12" customHeight="1" x14ac:dyDescent="0.4">
      <c r="A10" s="15"/>
      <c r="B10" s="122" t="s">
        <v>46</v>
      </c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4"/>
      <c r="AL10" t="s">
        <v>102</v>
      </c>
      <c r="AM10" s="169">
        <f>--SUBSTITUTE(AB33,"H","")</f>
        <v>0</v>
      </c>
      <c r="AN10" s="170">
        <f>ROUND($AN$4/$AM$13*AM10,0)</f>
        <v>0</v>
      </c>
    </row>
    <row r="11" spans="1:40" ht="12" customHeight="1" x14ac:dyDescent="0.4">
      <c r="A11" s="15"/>
      <c r="B11" s="122" t="s">
        <v>47</v>
      </c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4"/>
      <c r="AL11" t="s">
        <v>85</v>
      </c>
      <c r="AM11" s="169">
        <f>--SUBSTITUTE(AF33,"H","")</f>
        <v>0</v>
      </c>
      <c r="AN11" s="170">
        <f>ROUND($AN$4/$AM$13*AM11,0)</f>
        <v>0</v>
      </c>
    </row>
    <row r="12" spans="1:40" ht="12" customHeight="1" x14ac:dyDescent="0.4">
      <c r="A12" s="15"/>
      <c r="B12" s="125" t="s">
        <v>48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7"/>
    </row>
    <row r="13" spans="1:40" ht="12" customHeight="1" x14ac:dyDescent="0.4">
      <c r="A13" s="15"/>
      <c r="B13" s="122" t="s">
        <v>49</v>
      </c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4"/>
      <c r="AL13" s="166" t="s">
        <v>136</v>
      </c>
      <c r="AM13" s="171">
        <f>SUM(AM5:AM11)</f>
        <v>11.17</v>
      </c>
    </row>
    <row r="14" spans="1:40" ht="12" customHeight="1" x14ac:dyDescent="0.4">
      <c r="A14" s="149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3"/>
      <c r="AL14" s="166" t="s">
        <v>137</v>
      </c>
      <c r="AM14" s="172">
        <f>$AN$4/$AM$13</f>
        <v>26857.654431512983</v>
      </c>
    </row>
    <row r="15" spans="1:40" ht="12" customHeight="1" x14ac:dyDescent="0.4">
      <c r="A15" s="15" t="s">
        <v>50</v>
      </c>
      <c r="B15" s="126" t="s">
        <v>51</v>
      </c>
      <c r="C15" s="127"/>
      <c r="D15" s="127"/>
      <c r="E15" s="127"/>
      <c r="F15" s="129" t="s">
        <v>52</v>
      </c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7" t="s">
        <v>53</v>
      </c>
      <c r="AB15" s="127"/>
      <c r="AC15" s="127"/>
      <c r="AD15" s="127"/>
      <c r="AE15" s="127" t="s">
        <v>54</v>
      </c>
      <c r="AF15" s="127"/>
      <c r="AG15" s="127"/>
      <c r="AH15" s="127"/>
      <c r="AI15" s="127"/>
      <c r="AJ15" s="128"/>
      <c r="AL15" s="166" t="s">
        <v>138</v>
      </c>
      <c r="AN15" s="173">
        <f>SUM(AN5:AN11)</f>
        <v>300000</v>
      </c>
    </row>
    <row r="16" spans="1:40" ht="12" customHeight="1" x14ac:dyDescent="0.4">
      <c r="A16" s="15"/>
      <c r="B16" s="125" t="s">
        <v>55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7"/>
    </row>
    <row r="17" spans="1:36" ht="13.5" customHeight="1" x14ac:dyDescent="0.4">
      <c r="A17" s="149"/>
      <c r="B17" s="163"/>
      <c r="C17" s="164"/>
      <c r="D17" s="164"/>
      <c r="E17" s="164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2" t="s">
        <v>56</v>
      </c>
      <c r="AA17" s="162"/>
      <c r="AB17" s="162"/>
      <c r="AC17" s="130"/>
      <c r="AD17" s="130"/>
      <c r="AE17" s="130"/>
      <c r="AF17" s="130"/>
      <c r="AG17" s="130"/>
      <c r="AH17" s="130"/>
      <c r="AI17" s="130"/>
      <c r="AJ17" s="10" t="s">
        <v>21</v>
      </c>
    </row>
    <row r="18" spans="1:36" ht="11.25" customHeight="1" x14ac:dyDescent="0.4">
      <c r="A18" s="14" t="s">
        <v>57</v>
      </c>
      <c r="B18" s="16" t="s">
        <v>58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8"/>
    </row>
    <row r="19" spans="1:36" ht="11.25" customHeight="1" x14ac:dyDescent="0.4">
      <c r="A19" s="15"/>
      <c r="B19" s="12" t="s">
        <v>59</v>
      </c>
      <c r="C19" s="121" t="s">
        <v>60</v>
      </c>
      <c r="D19" s="121"/>
      <c r="E19" s="121"/>
      <c r="F19" s="118" t="s">
        <v>61</v>
      </c>
      <c r="G19" s="118"/>
      <c r="H19" s="118"/>
      <c r="I19" s="118"/>
      <c r="J19" s="118"/>
      <c r="K19" s="11" t="s">
        <v>7</v>
      </c>
      <c r="L19" s="11" t="s">
        <v>62</v>
      </c>
      <c r="M19" s="121" t="s">
        <v>63</v>
      </c>
      <c r="N19" s="121"/>
      <c r="O19" s="121"/>
      <c r="P19" s="118" t="s">
        <v>64</v>
      </c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" t="s">
        <v>7</v>
      </c>
    </row>
    <row r="20" spans="1:36" ht="11.25" customHeight="1" x14ac:dyDescent="0.4">
      <c r="A20" s="15"/>
      <c r="B20" s="12"/>
      <c r="C20" s="121" t="s">
        <v>65</v>
      </c>
      <c r="D20" s="121"/>
      <c r="E20" s="121"/>
      <c r="F20" s="118" t="s">
        <v>61</v>
      </c>
      <c r="G20" s="118"/>
      <c r="H20" s="118"/>
      <c r="I20" s="118"/>
      <c r="J20" s="118"/>
      <c r="K20" s="11" t="s">
        <v>7</v>
      </c>
      <c r="M20" s="121" t="s">
        <v>65</v>
      </c>
      <c r="N20" s="121"/>
      <c r="O20" s="121"/>
      <c r="P20" s="118" t="s">
        <v>64</v>
      </c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" t="s">
        <v>7</v>
      </c>
    </row>
    <row r="21" spans="1:36" ht="11.25" customHeight="1" x14ac:dyDescent="0.4">
      <c r="A21" s="15"/>
      <c r="B21" s="12"/>
      <c r="C21" s="121" t="s">
        <v>66</v>
      </c>
      <c r="D21" s="121"/>
      <c r="E21" s="121"/>
      <c r="F21" s="118" t="s">
        <v>61</v>
      </c>
      <c r="G21" s="118"/>
      <c r="H21" s="118"/>
      <c r="I21" s="118"/>
      <c r="J21" s="118"/>
      <c r="K21" s="11" t="s">
        <v>7</v>
      </c>
      <c r="M21" s="121" t="s">
        <v>66</v>
      </c>
      <c r="N21" s="121"/>
      <c r="O21" s="121"/>
      <c r="P21" s="118" t="s">
        <v>64</v>
      </c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" t="s">
        <v>7</v>
      </c>
    </row>
    <row r="22" spans="1:36" ht="11.25" customHeight="1" x14ac:dyDescent="0.4">
      <c r="A22" s="15"/>
      <c r="B22" s="21" t="s">
        <v>67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3"/>
    </row>
    <row r="23" spans="1:36" ht="12" customHeight="1" x14ac:dyDescent="0.4">
      <c r="A23" s="51" t="s">
        <v>68</v>
      </c>
      <c r="B23" s="24" t="s">
        <v>69</v>
      </c>
      <c r="C23" s="24"/>
      <c r="D23" s="24"/>
      <c r="E23" s="24"/>
      <c r="F23" s="24"/>
      <c r="G23" s="24"/>
      <c r="H23" s="36" t="s">
        <v>8</v>
      </c>
      <c r="I23" s="36"/>
      <c r="J23" s="36"/>
      <c r="K23" s="35">
        <v>22381</v>
      </c>
      <c r="L23" s="35"/>
      <c r="M23" s="35"/>
      <c r="N23" s="35"/>
      <c r="O23" s="35"/>
      <c r="P23" s="2" t="s">
        <v>9</v>
      </c>
      <c r="Q23" s="118" t="s">
        <v>70</v>
      </c>
      <c r="R23" s="118"/>
      <c r="S23" s="31" t="s">
        <v>71</v>
      </c>
      <c r="T23" s="31"/>
      <c r="U23" s="31"/>
      <c r="V23" s="32" t="s">
        <v>10</v>
      </c>
      <c r="W23" s="32"/>
      <c r="X23" s="32"/>
      <c r="Y23" s="35">
        <v>179054</v>
      </c>
      <c r="Z23" s="35"/>
      <c r="AA23" s="35"/>
      <c r="AB23" s="35"/>
      <c r="AC23" s="35"/>
      <c r="AD23" s="3" t="s">
        <v>9</v>
      </c>
      <c r="AE23" s="19" t="s">
        <v>72</v>
      </c>
      <c r="AF23" s="19"/>
      <c r="AG23" s="19"/>
      <c r="AH23" s="19"/>
      <c r="AI23" s="19"/>
      <c r="AJ23" s="20"/>
    </row>
    <row r="24" spans="1:36" ht="12" customHeight="1" x14ac:dyDescent="0.4">
      <c r="A24" s="51"/>
      <c r="C24" s="13" t="s">
        <v>73</v>
      </c>
      <c r="D24" s="119" t="s">
        <v>74</v>
      </c>
      <c r="E24" s="119"/>
      <c r="F24" s="119"/>
      <c r="G24" s="119"/>
      <c r="H24" s="119"/>
      <c r="I24" s="119" t="s">
        <v>75</v>
      </c>
      <c r="J24" s="119"/>
      <c r="K24" s="119"/>
      <c r="L24" s="119"/>
      <c r="M24" s="119"/>
      <c r="N24" s="119"/>
      <c r="O24" s="13" t="s">
        <v>76</v>
      </c>
      <c r="P24" s="121" t="s">
        <v>16</v>
      </c>
      <c r="Q24" s="121"/>
      <c r="R24" s="121"/>
      <c r="S24" s="119" t="s">
        <v>77</v>
      </c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20"/>
    </row>
    <row r="25" spans="1:36" ht="12" customHeight="1" x14ac:dyDescent="0.4">
      <c r="A25" s="51"/>
      <c r="C25" s="13" t="s">
        <v>78</v>
      </c>
      <c r="D25" s="119" t="s">
        <v>79</v>
      </c>
      <c r="E25" s="119"/>
      <c r="F25" s="119"/>
      <c r="G25" s="119"/>
      <c r="H25" s="119"/>
      <c r="I25" s="119" t="s">
        <v>80</v>
      </c>
      <c r="J25" s="119"/>
      <c r="K25" s="119"/>
      <c r="L25" s="119"/>
      <c r="M25" s="119"/>
      <c r="N25" s="119"/>
      <c r="O25" s="13" t="s">
        <v>81</v>
      </c>
      <c r="P25" s="121" t="s">
        <v>82</v>
      </c>
      <c r="Q25" s="121"/>
      <c r="R25" s="121"/>
      <c r="S25" s="119" t="s">
        <v>83</v>
      </c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20"/>
    </row>
    <row r="26" spans="1:36" ht="12" customHeight="1" x14ac:dyDescent="0.4">
      <c r="A26" s="51"/>
      <c r="C26" s="13" t="s">
        <v>84</v>
      </c>
      <c r="D26" s="119" t="s">
        <v>85</v>
      </c>
      <c r="E26" s="119"/>
      <c r="F26" s="119"/>
      <c r="G26" s="119"/>
      <c r="H26" s="119"/>
      <c r="I26" s="119" t="s">
        <v>86</v>
      </c>
      <c r="J26" s="119"/>
      <c r="K26" s="119"/>
      <c r="L26" s="119"/>
      <c r="M26" s="119"/>
      <c r="N26" s="119"/>
      <c r="O26" s="13" t="s">
        <v>87</v>
      </c>
      <c r="P26" s="26" t="s">
        <v>88</v>
      </c>
      <c r="Q26" s="26"/>
      <c r="R26" s="26"/>
      <c r="S26" s="119" t="s">
        <v>89</v>
      </c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20"/>
    </row>
    <row r="27" spans="1:36" ht="12" customHeight="1" x14ac:dyDescent="0.4">
      <c r="A27" s="51"/>
      <c r="B27" s="25" t="s">
        <v>90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35">
        <v>300000</v>
      </c>
      <c r="S27" s="35"/>
      <c r="T27" s="35"/>
      <c r="U27" s="35"/>
      <c r="V27" s="35"/>
      <c r="W27" s="4" t="s">
        <v>9</v>
      </c>
      <c r="X27" s="24" t="s">
        <v>91</v>
      </c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7"/>
    </row>
    <row r="28" spans="1:36" ht="13.5" customHeight="1" x14ac:dyDescent="0.4">
      <c r="A28" s="51"/>
      <c r="B28" s="25" t="s">
        <v>92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4" t="s">
        <v>56</v>
      </c>
      <c r="AA28" s="24"/>
      <c r="AB28" s="24"/>
      <c r="AC28" s="34"/>
      <c r="AD28" s="34"/>
      <c r="AE28" s="34"/>
      <c r="AF28" s="34"/>
      <c r="AG28" s="34"/>
      <c r="AH28" s="34"/>
      <c r="AI28" s="34"/>
      <c r="AJ28" s="9" t="s">
        <v>21</v>
      </c>
    </row>
    <row r="29" spans="1:36" ht="12" customHeight="1" x14ac:dyDescent="0.4">
      <c r="A29" s="51"/>
      <c r="B29" s="28" t="s">
        <v>93</v>
      </c>
      <c r="C29" s="28"/>
      <c r="D29" s="28"/>
      <c r="E29" s="28"/>
      <c r="F29" s="29" t="s">
        <v>11</v>
      </c>
      <c r="G29" s="29"/>
      <c r="H29" s="30" t="s">
        <v>94</v>
      </c>
      <c r="I29" s="30"/>
      <c r="J29" s="28" t="s">
        <v>12</v>
      </c>
      <c r="K29" s="28"/>
      <c r="L29" s="29" t="s">
        <v>11</v>
      </c>
      <c r="M29" s="29"/>
      <c r="N29" s="30" t="s">
        <v>95</v>
      </c>
      <c r="O29" s="30"/>
      <c r="P29" s="28" t="s">
        <v>13</v>
      </c>
      <c r="Q29" s="28"/>
      <c r="R29" s="28"/>
      <c r="S29" s="28"/>
      <c r="T29" s="29" t="s">
        <v>96</v>
      </c>
      <c r="U29" s="29"/>
      <c r="V29" s="30" t="s">
        <v>95</v>
      </c>
      <c r="W29" s="30"/>
      <c r="X29" s="28" t="s">
        <v>14</v>
      </c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33"/>
    </row>
    <row r="30" spans="1:36" ht="12" customHeight="1" x14ac:dyDescent="0.4">
      <c r="A30" s="51"/>
      <c r="B30" s="24" t="s">
        <v>97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7"/>
    </row>
    <row r="31" spans="1:36" ht="12" customHeight="1" x14ac:dyDescent="0.4">
      <c r="A31" s="51"/>
      <c r="B31" s="24" t="s">
        <v>98</v>
      </c>
      <c r="C31" s="24"/>
      <c r="D31" s="24"/>
      <c r="E31" s="24"/>
      <c r="F31" s="37" t="s">
        <v>99</v>
      </c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8"/>
    </row>
    <row r="32" spans="1:36" ht="12" customHeight="1" x14ac:dyDescent="0.4">
      <c r="A32" s="50" t="s">
        <v>100</v>
      </c>
      <c r="B32" s="104" t="s">
        <v>15</v>
      </c>
      <c r="C32" s="104"/>
      <c r="D32" s="104"/>
      <c r="E32" s="104"/>
      <c r="F32" s="104"/>
      <c r="G32" s="104"/>
      <c r="H32" s="108" t="s">
        <v>10</v>
      </c>
      <c r="I32" s="108"/>
      <c r="J32" s="108"/>
      <c r="K32" s="108"/>
      <c r="L32" s="109" t="s">
        <v>101</v>
      </c>
      <c r="M32" s="110"/>
      <c r="N32" s="110"/>
      <c r="O32" s="111"/>
      <c r="P32" s="105" t="s">
        <v>16</v>
      </c>
      <c r="Q32" s="106"/>
      <c r="R32" s="106"/>
      <c r="S32" s="107"/>
      <c r="T32" s="105" t="s">
        <v>79</v>
      </c>
      <c r="U32" s="106"/>
      <c r="V32" s="106"/>
      <c r="W32" s="107"/>
      <c r="X32" s="105" t="s">
        <v>82</v>
      </c>
      <c r="Y32" s="106"/>
      <c r="Z32" s="106"/>
      <c r="AA32" s="107"/>
      <c r="AB32" s="105" t="s">
        <v>102</v>
      </c>
      <c r="AC32" s="106"/>
      <c r="AD32" s="106"/>
      <c r="AE32" s="107"/>
      <c r="AF32" s="105" t="s">
        <v>85</v>
      </c>
      <c r="AG32" s="106"/>
      <c r="AH32" s="106"/>
      <c r="AI32" s="106"/>
      <c r="AJ32" s="107"/>
    </row>
    <row r="33" spans="1:36" ht="12" customHeight="1" x14ac:dyDescent="0.4">
      <c r="A33" s="51"/>
      <c r="B33" s="104" t="s">
        <v>17</v>
      </c>
      <c r="C33" s="104"/>
      <c r="D33" s="104"/>
      <c r="E33" s="104"/>
      <c r="F33" s="104"/>
      <c r="G33" s="104"/>
      <c r="H33" s="61" t="s">
        <v>103</v>
      </c>
      <c r="I33" s="61"/>
      <c r="J33" s="61"/>
      <c r="K33" s="61"/>
      <c r="L33" s="112" t="s">
        <v>104</v>
      </c>
      <c r="M33" s="113"/>
      <c r="N33" s="113"/>
      <c r="O33" s="114"/>
      <c r="P33" s="112" t="s">
        <v>105</v>
      </c>
      <c r="Q33" s="113"/>
      <c r="R33" s="113"/>
      <c r="S33" s="114"/>
      <c r="T33" s="101" t="s">
        <v>106</v>
      </c>
      <c r="U33" s="102"/>
      <c r="V33" s="102"/>
      <c r="W33" s="103"/>
      <c r="X33" s="101" t="s">
        <v>107</v>
      </c>
      <c r="Y33" s="102"/>
      <c r="Z33" s="102"/>
      <c r="AA33" s="103"/>
      <c r="AB33" s="101" t="s">
        <v>107</v>
      </c>
      <c r="AC33" s="102"/>
      <c r="AD33" s="102"/>
      <c r="AE33" s="103"/>
      <c r="AF33" s="101" t="s">
        <v>107</v>
      </c>
      <c r="AG33" s="102"/>
      <c r="AH33" s="102"/>
      <c r="AI33" s="102"/>
      <c r="AJ33" s="103"/>
    </row>
    <row r="34" spans="1:36" ht="12" customHeight="1" x14ac:dyDescent="0.4">
      <c r="A34" s="51"/>
      <c r="B34" s="46" t="s">
        <v>18</v>
      </c>
      <c r="C34" s="47"/>
      <c r="D34" s="62">
        <f>SUM(H34:AJ34)</f>
        <v>300000</v>
      </c>
      <c r="E34" s="62"/>
      <c r="F34" s="62"/>
      <c r="G34" s="62"/>
      <c r="H34" s="63">
        <f>AN5</f>
        <v>214861</v>
      </c>
      <c r="I34" s="63"/>
      <c r="J34" s="63"/>
      <c r="K34" s="63"/>
      <c r="L34" s="115">
        <f>AN6</f>
        <v>42972</v>
      </c>
      <c r="M34" s="116"/>
      <c r="N34" s="116"/>
      <c r="O34" s="117"/>
      <c r="P34" s="115">
        <f>AN7</f>
        <v>17995</v>
      </c>
      <c r="Q34" s="116"/>
      <c r="R34" s="116"/>
      <c r="S34" s="117"/>
      <c r="T34" s="52">
        <f>AN8</f>
        <v>24172</v>
      </c>
      <c r="U34" s="53"/>
      <c r="V34" s="53"/>
      <c r="W34" s="54"/>
      <c r="X34" s="52">
        <v>0</v>
      </c>
      <c r="Y34" s="53"/>
      <c r="Z34" s="53"/>
      <c r="AA34" s="54"/>
      <c r="AB34" s="52">
        <v>0</v>
      </c>
      <c r="AC34" s="53"/>
      <c r="AD34" s="53"/>
      <c r="AE34" s="54"/>
      <c r="AF34" s="52">
        <v>0</v>
      </c>
      <c r="AG34" s="53"/>
      <c r="AH34" s="53"/>
      <c r="AI34" s="53"/>
      <c r="AJ34" s="54"/>
    </row>
    <row r="35" spans="1:36" ht="12" customHeight="1" x14ac:dyDescent="0.4">
      <c r="A35" s="50" t="s">
        <v>108</v>
      </c>
      <c r="B35" s="58" t="s">
        <v>109</v>
      </c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60"/>
    </row>
    <row r="36" spans="1:36" ht="12" customHeight="1" x14ac:dyDescent="0.4">
      <c r="A36" s="51"/>
      <c r="B36" s="28" t="s">
        <v>110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33"/>
    </row>
    <row r="37" spans="1:36" ht="12" customHeight="1" x14ac:dyDescent="0.4">
      <c r="A37" s="51"/>
      <c r="B37" s="28" t="s">
        <v>111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33"/>
    </row>
    <row r="38" spans="1:36" ht="12" customHeight="1" x14ac:dyDescent="0.4">
      <c r="A38" s="51"/>
      <c r="B38" s="40" t="s">
        <v>112</v>
      </c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2"/>
    </row>
    <row r="39" spans="1:36" ht="12" customHeight="1" x14ac:dyDescent="0.4">
      <c r="A39" s="51"/>
      <c r="B39" s="24" t="s">
        <v>113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7"/>
    </row>
    <row r="40" spans="1:36" ht="12" customHeight="1" x14ac:dyDescent="0.4">
      <c r="A40" s="51"/>
      <c r="B40" s="28" t="s">
        <v>114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33"/>
    </row>
    <row r="41" spans="1:36" ht="12" customHeight="1" x14ac:dyDescent="0.4">
      <c r="A41" s="51"/>
      <c r="B41" s="55" t="s">
        <v>115</v>
      </c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7"/>
    </row>
    <row r="42" spans="1:36" ht="11.25" customHeight="1" x14ac:dyDescent="0.4">
      <c r="A42" s="51"/>
      <c r="B42" s="55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7"/>
    </row>
    <row r="43" spans="1:36" ht="12" customHeight="1" x14ac:dyDescent="0.4">
      <c r="A43" s="51"/>
      <c r="B43" s="55" t="s">
        <v>116</v>
      </c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7"/>
    </row>
    <row r="44" spans="1:36" ht="12" customHeight="1" x14ac:dyDescent="0.4">
      <c r="A44" s="48" t="s">
        <v>117</v>
      </c>
      <c r="B44" s="58" t="s">
        <v>118</v>
      </c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60"/>
    </row>
    <row r="45" spans="1:36" ht="12" customHeight="1" x14ac:dyDescent="0.4">
      <c r="A45" s="49"/>
      <c r="B45" s="64" t="s">
        <v>119</v>
      </c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5"/>
    </row>
    <row r="46" spans="1:36" ht="11.25" customHeight="1" x14ac:dyDescent="0.4">
      <c r="A46" s="49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5"/>
    </row>
    <row r="47" spans="1:36" ht="11.25" customHeight="1" x14ac:dyDescent="0.4">
      <c r="A47" s="49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5"/>
    </row>
    <row r="48" spans="1:36" ht="12" customHeight="1" x14ac:dyDescent="0.4">
      <c r="A48" s="49"/>
      <c r="B48" s="40" t="s">
        <v>120</v>
      </c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2"/>
    </row>
    <row r="49" spans="1:36" ht="11.25" customHeight="1" x14ac:dyDescent="0.4">
      <c r="A49" s="39"/>
      <c r="B49" s="43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5"/>
    </row>
    <row r="50" spans="1:36" ht="12" customHeight="1" x14ac:dyDescent="0.4">
      <c r="A50" s="14" t="s">
        <v>121</v>
      </c>
      <c r="B50" s="72" t="s">
        <v>19</v>
      </c>
      <c r="C50" s="73"/>
      <c r="D50" s="73"/>
      <c r="E50" s="73"/>
      <c r="F50" s="5" t="s">
        <v>20</v>
      </c>
      <c r="G50" s="6" t="s">
        <v>122</v>
      </c>
      <c r="H50" s="7" t="s">
        <v>21</v>
      </c>
      <c r="I50" s="73" t="s">
        <v>22</v>
      </c>
      <c r="J50" s="73"/>
      <c r="K50" s="73"/>
      <c r="L50" s="73"/>
      <c r="M50" s="5" t="s">
        <v>20</v>
      </c>
      <c r="N50" s="6" t="s">
        <v>122</v>
      </c>
      <c r="O50" s="7" t="s">
        <v>21</v>
      </c>
      <c r="P50" s="73" t="s">
        <v>23</v>
      </c>
      <c r="Q50" s="73"/>
      <c r="R50" s="73"/>
      <c r="S50" s="73"/>
      <c r="T50" s="5" t="s">
        <v>20</v>
      </c>
      <c r="U50" s="6" t="s">
        <v>122</v>
      </c>
      <c r="V50" s="7" t="s">
        <v>21</v>
      </c>
      <c r="W50" s="73" t="s">
        <v>24</v>
      </c>
      <c r="X50" s="73"/>
      <c r="Y50" s="73"/>
      <c r="Z50" s="73"/>
      <c r="AA50" s="5" t="s">
        <v>20</v>
      </c>
      <c r="AB50" s="6" t="s">
        <v>122</v>
      </c>
      <c r="AC50" s="7" t="s">
        <v>21</v>
      </c>
      <c r="AD50" s="74" t="s">
        <v>25</v>
      </c>
      <c r="AE50" s="74"/>
      <c r="AF50" s="74"/>
      <c r="AG50" s="74"/>
      <c r="AH50" s="5" t="s">
        <v>20</v>
      </c>
      <c r="AI50" s="6" t="s">
        <v>122</v>
      </c>
      <c r="AJ50" s="8" t="s">
        <v>21</v>
      </c>
    </row>
    <row r="51" spans="1:36" ht="12" customHeight="1" x14ac:dyDescent="0.4">
      <c r="A51" s="39"/>
      <c r="B51" s="41" t="s">
        <v>123</v>
      </c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2"/>
    </row>
    <row r="52" spans="1:36" ht="12.75" customHeight="1" x14ac:dyDescent="0.4">
      <c r="A52" s="48" t="s">
        <v>124</v>
      </c>
      <c r="B52" s="137" t="s">
        <v>125</v>
      </c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9"/>
    </row>
    <row r="53" spans="1:36" ht="13.5" customHeight="1" x14ac:dyDescent="0.4">
      <c r="A53" s="49"/>
      <c r="B53" s="140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2" t="s">
        <v>56</v>
      </c>
      <c r="AA53" s="143"/>
      <c r="AB53" s="141"/>
      <c r="AC53" s="141"/>
      <c r="AD53" s="141"/>
      <c r="AE53" s="141"/>
      <c r="AF53" s="141"/>
      <c r="AG53" s="142"/>
      <c r="AH53" s="141"/>
      <c r="AI53" s="141"/>
      <c r="AJ53" s="144" t="s">
        <v>21</v>
      </c>
    </row>
    <row r="54" spans="1:36" ht="19.5" customHeight="1" x14ac:dyDescent="0.4">
      <c r="A54" s="49"/>
      <c r="B54" s="145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7"/>
    </row>
    <row r="55" spans="1:36" ht="15" customHeight="1" x14ac:dyDescent="0.4">
      <c r="A55" s="49"/>
      <c r="B55" s="137" t="s">
        <v>125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7"/>
    </row>
    <row r="56" spans="1:36" ht="15" customHeight="1" x14ac:dyDescent="0.4">
      <c r="A56" s="49"/>
      <c r="B56" s="145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  <c r="AH56" s="146"/>
      <c r="AI56" s="146"/>
      <c r="AJ56" s="147"/>
    </row>
    <row r="57" spans="1:36" ht="19.5" customHeight="1" x14ac:dyDescent="0.4">
      <c r="A57" s="49"/>
      <c r="B57" s="145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7"/>
    </row>
    <row r="58" spans="1:36" ht="17.25" customHeight="1" x14ac:dyDescent="0.4">
      <c r="A58" s="49"/>
      <c r="B58" s="75" t="s">
        <v>125</v>
      </c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7"/>
    </row>
    <row r="59" spans="1:36" ht="17.25" customHeight="1" x14ac:dyDescent="0.4">
      <c r="A59" s="39"/>
      <c r="B59" s="78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80"/>
    </row>
    <row r="60" spans="1:36" ht="14.25" customHeight="1" x14ac:dyDescent="0.4">
      <c r="A60" s="69" t="s">
        <v>126</v>
      </c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1"/>
    </row>
    <row r="61" spans="1:36" ht="14.25" customHeight="1" x14ac:dyDescent="0.4">
      <c r="A61" s="96" t="s">
        <v>127</v>
      </c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97"/>
      <c r="AH61" s="97"/>
      <c r="AI61" s="97"/>
      <c r="AJ61" s="98"/>
    </row>
    <row r="62" spans="1:36" ht="27.75" customHeight="1" x14ac:dyDescent="0.4">
      <c r="A62" s="66" t="s">
        <v>128</v>
      </c>
      <c r="B62" s="67"/>
      <c r="C62" s="67"/>
      <c r="D62" s="67"/>
      <c r="E62" s="99" t="s">
        <v>32</v>
      </c>
      <c r="F62" s="99"/>
      <c r="G62" s="99"/>
      <c r="H62" s="99"/>
      <c r="I62" s="99"/>
      <c r="J62" s="99"/>
      <c r="K62" s="99"/>
      <c r="L62" s="99"/>
      <c r="M62" s="99"/>
      <c r="N62" s="100" t="s">
        <v>129</v>
      </c>
      <c r="O62" s="100"/>
      <c r="P62" s="100"/>
      <c r="Q62" s="100"/>
      <c r="R62" s="66" t="s">
        <v>130</v>
      </c>
      <c r="S62" s="67"/>
      <c r="T62" s="67"/>
      <c r="U62" s="67"/>
      <c r="V62" s="67"/>
      <c r="W62" s="68"/>
      <c r="X62" s="81"/>
      <c r="Y62" s="82"/>
      <c r="Z62" s="82"/>
      <c r="AA62" s="82"/>
      <c r="AB62" s="82"/>
      <c r="AC62" s="82"/>
      <c r="AD62" s="82"/>
      <c r="AE62" s="83"/>
      <c r="AF62" s="90" t="s">
        <v>26</v>
      </c>
      <c r="AG62" s="91"/>
      <c r="AH62" s="91"/>
      <c r="AI62" s="91"/>
      <c r="AJ62" s="92"/>
    </row>
    <row r="63" spans="1:36" ht="27.75" customHeight="1" x14ac:dyDescent="0.4">
      <c r="A63" s="87" t="s">
        <v>27</v>
      </c>
      <c r="B63" s="88"/>
      <c r="C63" s="88"/>
      <c r="D63" s="88"/>
      <c r="E63" s="100" t="s">
        <v>33</v>
      </c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87" t="s">
        <v>28</v>
      </c>
      <c r="S63" s="88"/>
      <c r="T63" s="88"/>
      <c r="U63" s="88"/>
      <c r="V63" s="88"/>
      <c r="W63" s="89"/>
      <c r="X63" s="84"/>
      <c r="Y63" s="85"/>
      <c r="Z63" s="85"/>
      <c r="AA63" s="85"/>
      <c r="AB63" s="85"/>
      <c r="AC63" s="85"/>
      <c r="AD63" s="85"/>
      <c r="AE63" s="86"/>
      <c r="AF63" s="93"/>
      <c r="AG63" s="94"/>
      <c r="AH63" s="94"/>
      <c r="AI63" s="94"/>
      <c r="AJ63" s="95"/>
    </row>
  </sheetData>
  <mergeCells count="156">
    <mergeCell ref="A1:AJ1"/>
    <mergeCell ref="A9:A14"/>
    <mergeCell ref="A15:A17"/>
    <mergeCell ref="B7:C8"/>
    <mergeCell ref="A5:A8"/>
    <mergeCell ref="B5:C6"/>
    <mergeCell ref="A2:AJ4"/>
    <mergeCell ref="B13:AJ14"/>
    <mergeCell ref="V9:AJ9"/>
    <mergeCell ref="B9:H9"/>
    <mergeCell ref="I9:U9"/>
    <mergeCell ref="D5:F5"/>
    <mergeCell ref="D6:F6"/>
    <mergeCell ref="D7:F7"/>
    <mergeCell ref="D8:F8"/>
    <mergeCell ref="W5:Y5"/>
    <mergeCell ref="W6:Y6"/>
    <mergeCell ref="W7:Y7"/>
    <mergeCell ref="Z8:AJ8"/>
    <mergeCell ref="Z17:AB17"/>
    <mergeCell ref="AG17:AI17"/>
    <mergeCell ref="B17:Y17"/>
    <mergeCell ref="G7:V7"/>
    <mergeCell ref="Z5:AJ5"/>
    <mergeCell ref="G8:V8"/>
    <mergeCell ref="Z6:AJ6"/>
    <mergeCell ref="Z7:AJ7"/>
    <mergeCell ref="W8:Y8"/>
    <mergeCell ref="G5:V5"/>
    <mergeCell ref="G6:V6"/>
    <mergeCell ref="F19:J19"/>
    <mergeCell ref="F20:J20"/>
    <mergeCell ref="P19:AI19"/>
    <mergeCell ref="P20:AI20"/>
    <mergeCell ref="C21:E21"/>
    <mergeCell ref="B10:AJ10"/>
    <mergeCell ref="B12:AJ12"/>
    <mergeCell ref="B15:E15"/>
    <mergeCell ref="B16:AJ16"/>
    <mergeCell ref="B11:AJ11"/>
    <mergeCell ref="AE15:AJ15"/>
    <mergeCell ref="F15:Z15"/>
    <mergeCell ref="AA15:AD15"/>
    <mergeCell ref="AC17:AF17"/>
    <mergeCell ref="M19:O19"/>
    <mergeCell ref="M20:O20"/>
    <mergeCell ref="M21:O21"/>
    <mergeCell ref="F21:J21"/>
    <mergeCell ref="P21:AI21"/>
    <mergeCell ref="C19:E19"/>
    <mergeCell ref="C20:E20"/>
    <mergeCell ref="K23:O23"/>
    <mergeCell ref="Q23:R23"/>
    <mergeCell ref="S24:AJ24"/>
    <mergeCell ref="S25:AJ25"/>
    <mergeCell ref="N29:O29"/>
    <mergeCell ref="P24:R24"/>
    <mergeCell ref="P25:R25"/>
    <mergeCell ref="D24:H24"/>
    <mergeCell ref="D25:H25"/>
    <mergeCell ref="D26:H26"/>
    <mergeCell ref="I24:N24"/>
    <mergeCell ref="I25:N25"/>
    <mergeCell ref="I26:N26"/>
    <mergeCell ref="P26:R26"/>
    <mergeCell ref="S26:AJ26"/>
    <mergeCell ref="AF33:AJ33"/>
    <mergeCell ref="B32:G32"/>
    <mergeCell ref="AF32:AJ32"/>
    <mergeCell ref="H32:K32"/>
    <mergeCell ref="B39:AJ39"/>
    <mergeCell ref="B33:G33"/>
    <mergeCell ref="L32:O32"/>
    <mergeCell ref="L33:O33"/>
    <mergeCell ref="L34:O34"/>
    <mergeCell ref="P32:S32"/>
    <mergeCell ref="P33:S33"/>
    <mergeCell ref="P34:S34"/>
    <mergeCell ref="T32:W32"/>
    <mergeCell ref="T33:W33"/>
    <mergeCell ref="T34:W34"/>
    <mergeCell ref="X32:AA32"/>
    <mergeCell ref="X33:AA33"/>
    <mergeCell ref="X34:AA34"/>
    <mergeCell ref="AB32:AE32"/>
    <mergeCell ref="AB33:AE33"/>
    <mergeCell ref="AB34:AE34"/>
    <mergeCell ref="R62:W62"/>
    <mergeCell ref="A52:A59"/>
    <mergeCell ref="B51:AJ51"/>
    <mergeCell ref="A60:AJ60"/>
    <mergeCell ref="B50:E50"/>
    <mergeCell ref="I50:L50"/>
    <mergeCell ref="P50:S50"/>
    <mergeCell ref="W50:Z50"/>
    <mergeCell ref="AD50:AG50"/>
    <mergeCell ref="B58:AJ59"/>
    <mergeCell ref="X62:AE63"/>
    <mergeCell ref="R63:W63"/>
    <mergeCell ref="AF62:AJ63"/>
    <mergeCell ref="A61:AJ61"/>
    <mergeCell ref="A62:D62"/>
    <mergeCell ref="A63:D63"/>
    <mergeCell ref="E62:M62"/>
    <mergeCell ref="E63:M63"/>
    <mergeCell ref="N62:Q63"/>
    <mergeCell ref="B52:AJ54"/>
    <mergeCell ref="B55:AJ57"/>
    <mergeCell ref="F31:AJ31"/>
    <mergeCell ref="A50:A51"/>
    <mergeCell ref="B48:AJ49"/>
    <mergeCell ref="B40:AJ40"/>
    <mergeCell ref="B37:AJ37"/>
    <mergeCell ref="B34:C34"/>
    <mergeCell ref="A44:A49"/>
    <mergeCell ref="A35:A43"/>
    <mergeCell ref="B38:AJ38"/>
    <mergeCell ref="AF34:AJ34"/>
    <mergeCell ref="B43:AJ43"/>
    <mergeCell ref="B35:AJ35"/>
    <mergeCell ref="B36:AJ36"/>
    <mergeCell ref="A23:A31"/>
    <mergeCell ref="B31:E31"/>
    <mergeCell ref="B28:Y28"/>
    <mergeCell ref="AG28:AI28"/>
    <mergeCell ref="A32:A34"/>
    <mergeCell ref="B44:AJ44"/>
    <mergeCell ref="H33:K33"/>
    <mergeCell ref="B41:AJ42"/>
    <mergeCell ref="D34:G34"/>
    <mergeCell ref="H34:K34"/>
    <mergeCell ref="B45:AJ47"/>
    <mergeCell ref="A18:A22"/>
    <mergeCell ref="B18:AJ18"/>
    <mergeCell ref="AE23:AJ23"/>
    <mergeCell ref="B22:AJ22"/>
    <mergeCell ref="Z28:AB28"/>
    <mergeCell ref="B27:Q27"/>
    <mergeCell ref="B30:AJ30"/>
    <mergeCell ref="B29:E29"/>
    <mergeCell ref="F29:G29"/>
    <mergeCell ref="H29:I29"/>
    <mergeCell ref="J29:K29"/>
    <mergeCell ref="V29:W29"/>
    <mergeCell ref="L29:M29"/>
    <mergeCell ref="S23:U23"/>
    <mergeCell ref="V23:X23"/>
    <mergeCell ref="X29:AJ29"/>
    <mergeCell ref="P29:S29"/>
    <mergeCell ref="T29:U29"/>
    <mergeCell ref="AC28:AF28"/>
    <mergeCell ref="B23:G23"/>
    <mergeCell ref="Y23:AC23"/>
    <mergeCell ref="X27:AJ27"/>
    <mergeCell ref="R27:V27"/>
    <mergeCell ref="H23:J23"/>
  </mergeCells>
  <phoneticPr fontId="6" type="noConversion"/>
  <printOptions horizontalCentered="1"/>
  <pageMargins left="0.25" right="0.25" top="0.35" bottom="0.35" header="0.31496062992125984" footer="0.31496062992125984"/>
  <pageSetup paperSize="9" scale="8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일용직 근로계약서</vt:lpstr>
      <vt:lpstr>'일용직 근로계약서'!Print_Area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yjh</dc:creator>
  <cp:lastModifiedBy>종현 김</cp:lastModifiedBy>
  <cp:lastPrinted>2026-05-09T02:17:45Z</cp:lastPrinted>
  <dcterms:created xsi:type="dcterms:W3CDTF">2017-08-11T05:41:03Z</dcterms:created>
  <dcterms:modified xsi:type="dcterms:W3CDTF">2026-05-09T02:28:11Z</dcterms:modified>
</cp:coreProperties>
</file>